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dor\Desktop\"/>
    </mc:Choice>
  </mc:AlternateContent>
  <xr:revisionPtr revIDLastSave="0" documentId="8_{A9D5C735-F9A5-4AB0-B212-4A1D41ED1270}" xr6:coauthVersionLast="47" xr6:coauthVersionMax="47" xr10:uidLastSave="{00000000-0000-0000-0000-000000000000}"/>
  <bookViews>
    <workbookView xWindow="915" yWindow="225" windowWidth="12825" windowHeight="15225" firstSheet="2" activeTab="2" xr2:uid="{00000000-000D-0000-FFFF-FFFF00000000}"/>
  </bookViews>
  <sheets>
    <sheet name="Pre-Escolar" sheetId="4" r:id="rId1"/>
    <sheet name="Primaria y Pre-media " sheetId="2" r:id="rId2"/>
    <sheet name="Media Comercio y Ciencias 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4" l="1"/>
  <c r="C11" i="4"/>
  <c r="D14" i="2" l="1"/>
  <c r="C14" i="2"/>
  <c r="E14" i="2"/>
  <c r="F14" i="2"/>
  <c r="G14" i="2"/>
  <c r="H14" i="2"/>
  <c r="I14" i="2"/>
  <c r="J14" i="2"/>
  <c r="K14" i="2"/>
  <c r="D27" i="2"/>
  <c r="D20" i="4" l="1"/>
  <c r="C20" i="4"/>
  <c r="C17" i="2" l="1"/>
  <c r="D17" i="2"/>
  <c r="D28" i="2" s="1"/>
  <c r="E17" i="2"/>
  <c r="F17" i="2"/>
  <c r="G17" i="2"/>
  <c r="H17" i="2"/>
  <c r="I17" i="2"/>
  <c r="J17" i="2"/>
  <c r="K17" i="2"/>
  <c r="C27" i="2"/>
  <c r="E27" i="2"/>
  <c r="F27" i="2"/>
  <c r="G27" i="2"/>
  <c r="H27" i="2"/>
  <c r="I27" i="2"/>
  <c r="J27" i="2"/>
  <c r="K27" i="2"/>
  <c r="D16" i="4"/>
  <c r="C16" i="4"/>
  <c r="K28" i="2" l="1"/>
  <c r="C28" i="2"/>
  <c r="C21" i="4"/>
  <c r="D21" i="4"/>
  <c r="E28" i="2"/>
  <c r="F28" i="2"/>
  <c r="G28" i="2"/>
  <c r="H28" i="2"/>
  <c r="I28" i="2"/>
  <c r="J28" i="2"/>
</calcChain>
</file>

<file path=xl/sharedStrings.xml><?xml version="1.0" encoding="utf-8"?>
<sst xmlns="http://schemas.openxmlformats.org/spreadsheetml/2006/main" count="204" uniqueCount="112">
  <si>
    <t>Plan De Estudio</t>
  </si>
  <si>
    <t xml:space="preserve">Area </t>
  </si>
  <si>
    <t xml:space="preserve">Asignatura </t>
  </si>
  <si>
    <t>10°</t>
  </si>
  <si>
    <t>11°</t>
  </si>
  <si>
    <t>12°</t>
  </si>
  <si>
    <t>Español</t>
  </si>
  <si>
    <t xml:space="preserve">Inglés </t>
  </si>
  <si>
    <t>Cívica III</t>
  </si>
  <si>
    <t xml:space="preserve">Sub Total </t>
  </si>
  <si>
    <t xml:space="preserve">Humanistica </t>
  </si>
  <si>
    <t xml:space="preserve">Matemáticas </t>
  </si>
  <si>
    <t xml:space="preserve">Educación Física </t>
  </si>
  <si>
    <t xml:space="preserve">Científica </t>
  </si>
  <si>
    <t xml:space="preserve">Informática </t>
  </si>
  <si>
    <t xml:space="preserve">Total de Horas  </t>
  </si>
  <si>
    <t xml:space="preserve">Tecnología </t>
  </si>
  <si>
    <t xml:space="preserve">Escuela Bilingüe Santo Domingo Savio </t>
  </si>
  <si>
    <t>1°</t>
  </si>
  <si>
    <t>2°</t>
  </si>
  <si>
    <t>3°</t>
  </si>
  <si>
    <t>4°</t>
  </si>
  <si>
    <t>5°</t>
  </si>
  <si>
    <t>6°</t>
  </si>
  <si>
    <t>7°</t>
  </si>
  <si>
    <t>8°</t>
  </si>
  <si>
    <t>9°</t>
  </si>
  <si>
    <t xml:space="preserve">Religión, Moral y Valores </t>
  </si>
  <si>
    <t xml:space="preserve">Ciencias Sociales </t>
  </si>
  <si>
    <t xml:space="preserve">Geografía </t>
  </si>
  <si>
    <t xml:space="preserve">Hiostoria </t>
  </si>
  <si>
    <t xml:space="preserve">Cívica </t>
  </si>
  <si>
    <t>Inglés</t>
  </si>
  <si>
    <t xml:space="preserve">Expresiones Artísticas </t>
  </si>
  <si>
    <t xml:space="preserve">Ciencias Naturales </t>
  </si>
  <si>
    <t xml:space="preserve">Familia y Desarrollo / Artes Industriales </t>
  </si>
  <si>
    <t xml:space="preserve">Música </t>
  </si>
  <si>
    <t xml:space="preserve">Agropecuaria </t>
  </si>
  <si>
    <t xml:space="preserve">Folklore </t>
  </si>
  <si>
    <t xml:space="preserve">Orientación </t>
  </si>
  <si>
    <t xml:space="preserve">Introducción al Comercio </t>
  </si>
  <si>
    <t xml:space="preserve">Introducción a la Contabilidad </t>
  </si>
  <si>
    <t>Plan Curricular Pre-escolar</t>
  </si>
  <si>
    <t xml:space="preserve">Socio Afectiva </t>
  </si>
  <si>
    <t>Pre -Kínder</t>
  </si>
  <si>
    <t>Kínder</t>
  </si>
  <si>
    <t xml:space="preserve">Juego y Trabajo </t>
  </si>
  <si>
    <t xml:space="preserve">Exploración del Mundo </t>
  </si>
  <si>
    <t xml:space="preserve">Reunión de Grupo </t>
  </si>
  <si>
    <t xml:space="preserve">Religión </t>
  </si>
  <si>
    <t xml:space="preserve">Actividad de Lenguaje </t>
  </si>
  <si>
    <t>Psicomotora</t>
  </si>
  <si>
    <t xml:space="preserve">Actividad Ludica </t>
  </si>
  <si>
    <t>Folklore</t>
  </si>
  <si>
    <t>Formacion Espiritual</t>
  </si>
  <si>
    <t>Reforsamiento</t>
  </si>
  <si>
    <t xml:space="preserve">Cognitiva Lenguistica </t>
  </si>
  <si>
    <t>ÁREAS</t>
  </si>
  <si>
    <t>HUMANÍSTICA</t>
  </si>
  <si>
    <t>-</t>
  </si>
  <si>
    <t>Cívica</t>
  </si>
  <si>
    <t>CIENTÍFICA</t>
  </si>
  <si>
    <t>TECNOLÓGICA</t>
  </si>
  <si>
    <t>ASIGNATURA</t>
  </si>
  <si>
    <t>CARGA HORARIA</t>
  </si>
  <si>
    <t>TOTAL HORAS</t>
  </si>
  <si>
    <t>GRADOS</t>
  </si>
  <si>
    <t>Español (lenguaje y comunicación)</t>
  </si>
  <si>
    <t>Inglés (lenguaje y comunicación)</t>
  </si>
  <si>
    <t xml:space="preserve">Geografía Física </t>
  </si>
  <si>
    <t xml:space="preserve">Geografía Humana política y Económica </t>
  </si>
  <si>
    <t xml:space="preserve">Geografía de Panamá </t>
  </si>
  <si>
    <t>Historia Moderna y Post-Moderna</t>
  </si>
  <si>
    <t>Historia de Panamá</t>
  </si>
  <si>
    <t>Historia de Relaciones entre Panamá y E.E.U.U</t>
  </si>
  <si>
    <t>Ética, Moral, Valores y Relaciones Humanas</t>
  </si>
  <si>
    <t>Bellas Artes</t>
  </si>
  <si>
    <t>Formación Espiritual</t>
  </si>
  <si>
    <t>sub total</t>
  </si>
  <si>
    <t>Matemáticas</t>
  </si>
  <si>
    <t>Educación Física y Salud Integral</t>
  </si>
  <si>
    <t>Tecnología de la Información</t>
  </si>
  <si>
    <t>Computer Business aplication</t>
  </si>
  <si>
    <t>Administración</t>
  </si>
  <si>
    <t>Contabilidad I</t>
  </si>
  <si>
    <t>business Acounting II</t>
  </si>
  <si>
    <t>business Acounting III</t>
  </si>
  <si>
    <t>mercadotecnia y publicidad</t>
  </si>
  <si>
    <t>gestión empresarial turística</t>
  </si>
  <si>
    <t>Business Management and Human Resources</t>
  </si>
  <si>
    <t>Office Management</t>
  </si>
  <si>
    <t>Formulación y Evaluación de Proyecto</t>
  </si>
  <si>
    <t>Fundamento Laboral y Comercial</t>
  </si>
  <si>
    <t>Professional Practice</t>
  </si>
  <si>
    <t>TOTAL DE HORAS</t>
  </si>
  <si>
    <t>TOTAL DE ASIGNATURAS</t>
  </si>
  <si>
    <t>DECRETO EJECUTIVO N°.1055 DE 18 DE NOVIEMBRE DE 2016</t>
  </si>
  <si>
    <t>Geografía física</t>
  </si>
  <si>
    <t>Geografía de Panamá</t>
  </si>
  <si>
    <t>Geografía Humana Económica y política</t>
  </si>
  <si>
    <t>Historia de Relaciones entre Panamá y EU de América</t>
  </si>
  <si>
    <t>Lógica y filosofía</t>
  </si>
  <si>
    <t>Sub total</t>
  </si>
  <si>
    <t>Biología</t>
  </si>
  <si>
    <t>Química</t>
  </si>
  <si>
    <t>Física</t>
  </si>
  <si>
    <t>Gestión Empresarial y Formulación de Proyecto</t>
  </si>
  <si>
    <t xml:space="preserve">PLAN DE ESTUDIO BACHILLERATO COMERCIO BILINGÜE </t>
  </si>
  <si>
    <t xml:space="preserve">PLAN DE ESTUDIO BACHILLERATO CIENCIAS </t>
  </si>
  <si>
    <t xml:space="preserve">Informática/ Robotica </t>
  </si>
  <si>
    <t xml:space="preserve">Inteligencia Emocional </t>
  </si>
  <si>
    <t xml:space="preserve">Misa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</si>
</sst>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 Black"/>
      <family val="2"/>
    </font>
    <font>
      <b/>
      <sz val="12"/>
      <color theme="1"/>
      <name val="Arial Black"/>
      <family val="2"/>
    </font>
    <font>
      <b/>
      <sz val="16"/>
      <color rgb="FF000000"/>
      <name val="Calibri"/>
      <family val="2"/>
      <scheme val="minor"/>
    </font>
    <font>
      <b/>
      <sz val="11"/>
      <color rgb="FF000000"/>
      <name val="Arial"/>
      <family val="2"/>
    </font>
    <font>
      <b/>
      <sz val="9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sz val="12"/>
      <color rgb="FF000000"/>
      <name val="Arial Narrow"/>
      <family val="2"/>
    </font>
    <font>
      <b/>
      <sz val="12"/>
      <color rgb="FF000000"/>
      <name val="Arial Narrow"/>
      <family val="2"/>
    </font>
    <font>
      <sz val="11"/>
      <color rgb="FF000000"/>
      <name val="Calibri"/>
      <family val="2"/>
    </font>
    <font>
      <b/>
      <sz val="11"/>
      <color rgb="FF00000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  <fill>
      <patternFill patternType="solid">
        <fgColor rgb="FFC0C0C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5" xfId="0" applyFont="1" applyBorder="1"/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1" fillId="0" borderId="5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0" fillId="0" borderId="0" xfId="0" applyAlignment="1">
      <alignment vertical="center" wrapText="1"/>
    </xf>
    <xf numFmtId="0" fontId="1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vertical="center"/>
    </xf>
    <xf numFmtId="0" fontId="8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vertical="center"/>
    </xf>
    <xf numFmtId="0" fontId="10" fillId="0" borderId="5" xfId="0" applyFont="1" applyBorder="1" applyAlignment="1">
      <alignment horizontal="center" vertical="center"/>
    </xf>
    <xf numFmtId="0" fontId="6" fillId="2" borderId="5" xfId="0" applyFont="1" applyFill="1" applyBorder="1" applyAlignment="1">
      <alignment vertical="center"/>
    </xf>
    <xf numFmtId="0" fontId="6" fillId="2" borderId="5" xfId="0" applyFont="1" applyFill="1" applyBorder="1" applyAlignment="1">
      <alignment horizontal="center" vertical="center"/>
    </xf>
    <xf numFmtId="0" fontId="9" fillId="0" borderId="5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vertical="center" wrapText="1"/>
    </xf>
    <xf numFmtId="0" fontId="10" fillId="0" borderId="5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1" fillId="3" borderId="5" xfId="0" applyFont="1" applyFill="1" applyBorder="1" applyAlignment="1">
      <alignment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vertical="center" wrapText="1"/>
    </xf>
    <xf numFmtId="0" fontId="1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2" fillId="0" borderId="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 textRotation="90" wrapText="1"/>
    </xf>
    <xf numFmtId="0" fontId="5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textRotation="90"/>
    </xf>
    <xf numFmtId="0" fontId="9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1" fillId="0" borderId="5" xfId="0" applyFont="1" applyFill="1" applyBorder="1"/>
    <xf numFmtId="0" fontId="1" fillId="0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37E49-448D-409F-A890-0F6AD050FE46}">
  <dimension ref="A1:J23"/>
  <sheetViews>
    <sheetView workbookViewId="0">
      <selection activeCell="B15" sqref="B15"/>
    </sheetView>
  </sheetViews>
  <sheetFormatPr baseColWidth="10" defaultRowHeight="15" x14ac:dyDescent="0.25"/>
  <cols>
    <col min="1" max="1" width="19.7109375" customWidth="1"/>
    <col min="2" max="2" width="45.5703125" customWidth="1"/>
    <col min="3" max="3" width="13.28515625" customWidth="1"/>
    <col min="4" max="4" width="11.42578125" customWidth="1"/>
  </cols>
  <sheetData>
    <row r="1" spans="1:4" ht="19.5" x14ac:dyDescent="0.4">
      <c r="A1" s="34" t="s">
        <v>17</v>
      </c>
      <c r="B1" s="34"/>
      <c r="C1" s="34"/>
      <c r="D1" s="34"/>
    </row>
    <row r="2" spans="1:4" ht="19.5" x14ac:dyDescent="0.4">
      <c r="A2" s="35" t="s">
        <v>0</v>
      </c>
      <c r="B2" s="35"/>
      <c r="C2" s="35"/>
      <c r="D2" s="35"/>
    </row>
    <row r="3" spans="1:4" ht="19.5" x14ac:dyDescent="0.4">
      <c r="A3" s="35" t="s">
        <v>42</v>
      </c>
      <c r="B3" s="35"/>
      <c r="C3" s="35"/>
      <c r="D3" s="35"/>
    </row>
    <row r="4" spans="1:4" ht="15.75" x14ac:dyDescent="0.25">
      <c r="A4" s="4" t="s">
        <v>1</v>
      </c>
      <c r="B4" s="4" t="s">
        <v>2</v>
      </c>
      <c r="C4" s="4" t="s">
        <v>44</v>
      </c>
      <c r="D4" s="4" t="s">
        <v>45</v>
      </c>
    </row>
    <row r="5" spans="1:4" ht="15.75" customHeight="1" x14ac:dyDescent="0.25">
      <c r="A5" s="38" t="s">
        <v>43</v>
      </c>
      <c r="B5" s="3" t="s">
        <v>53</v>
      </c>
      <c r="C5" s="10">
        <v>2</v>
      </c>
      <c r="D5" s="10">
        <v>2</v>
      </c>
    </row>
    <row r="6" spans="1:4" ht="15.75" customHeight="1" x14ac:dyDescent="0.25">
      <c r="A6" s="38"/>
      <c r="B6" s="3" t="s">
        <v>47</v>
      </c>
      <c r="C6" s="10">
        <v>3</v>
      </c>
      <c r="D6" s="10">
        <v>3</v>
      </c>
    </row>
    <row r="7" spans="1:4" ht="15.75" customHeight="1" x14ac:dyDescent="0.25">
      <c r="A7" s="38"/>
      <c r="B7" s="3" t="s">
        <v>48</v>
      </c>
      <c r="C7" s="10">
        <v>4</v>
      </c>
      <c r="D7" s="10">
        <v>4</v>
      </c>
    </row>
    <row r="8" spans="1:4" ht="15.75" customHeight="1" x14ac:dyDescent="0.25">
      <c r="A8" s="38"/>
      <c r="B8" s="3" t="s">
        <v>49</v>
      </c>
      <c r="C8" s="10">
        <v>1</v>
      </c>
      <c r="D8" s="10">
        <v>1</v>
      </c>
    </row>
    <row r="9" spans="1:4" ht="15.75" customHeight="1" x14ac:dyDescent="0.25">
      <c r="A9" s="38"/>
      <c r="B9" s="58" t="s">
        <v>110</v>
      </c>
      <c r="C9" s="59">
        <v>1</v>
      </c>
      <c r="D9" s="59">
        <v>1</v>
      </c>
    </row>
    <row r="10" spans="1:4" ht="15.75" x14ac:dyDescent="0.25">
      <c r="A10" s="38"/>
      <c r="B10" s="58" t="s">
        <v>111</v>
      </c>
      <c r="C10" s="59">
        <v>1</v>
      </c>
      <c r="D10" s="59">
        <v>1</v>
      </c>
    </row>
    <row r="11" spans="1:4" ht="15.75" x14ac:dyDescent="0.25">
      <c r="A11" s="37" t="s">
        <v>9</v>
      </c>
      <c r="B11" s="37"/>
      <c r="C11" s="5">
        <f>SUM(C5:C10)</f>
        <v>12</v>
      </c>
      <c r="D11" s="5">
        <f>SUM(D5:D10)</f>
        <v>12</v>
      </c>
    </row>
    <row r="12" spans="1:4" ht="15.75" x14ac:dyDescent="0.25">
      <c r="A12" s="39" t="s">
        <v>56</v>
      </c>
      <c r="B12" s="3" t="s">
        <v>50</v>
      </c>
      <c r="C12" s="10">
        <v>5</v>
      </c>
      <c r="D12" s="10">
        <v>5</v>
      </c>
    </row>
    <row r="13" spans="1:4" ht="15.75" x14ac:dyDescent="0.25">
      <c r="A13" s="39"/>
      <c r="B13" s="3" t="s">
        <v>11</v>
      </c>
      <c r="C13" s="10">
        <v>5</v>
      </c>
      <c r="D13" s="10">
        <v>5</v>
      </c>
    </row>
    <row r="14" spans="1:4" ht="15.75" x14ac:dyDescent="0.25">
      <c r="A14" s="39"/>
      <c r="B14" s="3" t="s">
        <v>7</v>
      </c>
      <c r="C14" s="10">
        <v>6</v>
      </c>
      <c r="D14" s="10">
        <v>6</v>
      </c>
    </row>
    <row r="15" spans="1:4" ht="15.75" x14ac:dyDescent="0.25">
      <c r="A15" s="39"/>
      <c r="B15" s="3" t="s">
        <v>109</v>
      </c>
      <c r="C15" s="10">
        <v>2</v>
      </c>
      <c r="D15" s="10">
        <v>2</v>
      </c>
    </row>
    <row r="16" spans="1:4" ht="15.75" x14ac:dyDescent="0.25">
      <c r="A16" s="37" t="s">
        <v>9</v>
      </c>
      <c r="B16" s="37"/>
      <c r="C16" s="5">
        <f>SUM(C12:C15)</f>
        <v>18</v>
      </c>
      <c r="D16" s="5">
        <f>SUM(D12:D15)</f>
        <v>18</v>
      </c>
    </row>
    <row r="17" spans="1:10" ht="15.75" x14ac:dyDescent="0.25">
      <c r="A17" s="40" t="s">
        <v>51</v>
      </c>
      <c r="B17" s="3" t="s">
        <v>52</v>
      </c>
      <c r="C17" s="10">
        <v>1</v>
      </c>
      <c r="D17" s="10">
        <v>1</v>
      </c>
    </row>
    <row r="18" spans="1:10" ht="15.75" x14ac:dyDescent="0.25">
      <c r="A18" s="40"/>
      <c r="B18" s="3" t="s">
        <v>12</v>
      </c>
      <c r="C18" s="10">
        <v>2</v>
      </c>
      <c r="D18" s="10">
        <v>2</v>
      </c>
    </row>
    <row r="19" spans="1:10" ht="15.75" x14ac:dyDescent="0.25">
      <c r="A19" s="40"/>
      <c r="B19" s="3" t="s">
        <v>46</v>
      </c>
      <c r="C19" s="10">
        <v>3</v>
      </c>
      <c r="D19" s="10">
        <v>3</v>
      </c>
    </row>
    <row r="20" spans="1:10" ht="15.75" x14ac:dyDescent="0.25">
      <c r="A20" s="40"/>
      <c r="B20" s="5" t="s">
        <v>9</v>
      </c>
      <c r="C20" s="5">
        <f>SUM(C17:C19)</f>
        <v>6</v>
      </c>
      <c r="D20" s="5">
        <f>SUM(D17:D19)</f>
        <v>6</v>
      </c>
    </row>
    <row r="21" spans="1:10" ht="15.75" x14ac:dyDescent="0.25">
      <c r="A21" s="37" t="s">
        <v>15</v>
      </c>
      <c r="B21" s="37"/>
      <c r="C21" s="5">
        <f>+C11+C16+C20</f>
        <v>36</v>
      </c>
      <c r="D21" s="5">
        <f>+D11+D16+D20</f>
        <v>36</v>
      </c>
    </row>
    <row r="23" spans="1:10" ht="15.75" x14ac:dyDescent="0.25">
      <c r="A23" s="36"/>
      <c r="B23" s="36"/>
      <c r="C23" s="36"/>
      <c r="D23" s="36"/>
      <c r="E23" s="1"/>
      <c r="F23" s="1"/>
      <c r="G23" s="1"/>
      <c r="H23" s="1"/>
      <c r="I23" s="1"/>
      <c r="J23" s="1"/>
    </row>
  </sheetData>
  <mergeCells count="10">
    <mergeCell ref="A1:D1"/>
    <mergeCell ref="A2:D2"/>
    <mergeCell ref="A3:D3"/>
    <mergeCell ref="A23:D23"/>
    <mergeCell ref="A11:B11"/>
    <mergeCell ref="A16:B16"/>
    <mergeCell ref="A12:A15"/>
    <mergeCell ref="A17:A20"/>
    <mergeCell ref="A21:B21"/>
    <mergeCell ref="A5:A10"/>
  </mergeCells>
  <pageMargins left="0.25" right="0.25" top="0.75" bottom="0.75" header="0.3" footer="0.3"/>
  <pageSetup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1"/>
  <sheetViews>
    <sheetView workbookViewId="0">
      <selection activeCell="B9" sqref="B9"/>
    </sheetView>
  </sheetViews>
  <sheetFormatPr baseColWidth="10" defaultRowHeight="15" x14ac:dyDescent="0.25"/>
  <cols>
    <col min="1" max="1" width="17.7109375" customWidth="1"/>
    <col min="2" max="2" width="41.7109375" customWidth="1"/>
    <col min="3" max="4" width="7.28515625" customWidth="1"/>
    <col min="5" max="5" width="6.5703125" customWidth="1"/>
    <col min="6" max="7" width="7" customWidth="1"/>
    <col min="8" max="8" width="6.85546875" customWidth="1"/>
    <col min="9" max="9" width="7.140625" customWidth="1"/>
    <col min="10" max="10" width="6.85546875" customWidth="1"/>
    <col min="11" max="11" width="7" customWidth="1"/>
  </cols>
  <sheetData>
    <row r="1" spans="1:11" ht="19.5" x14ac:dyDescent="0.4">
      <c r="A1" s="34" t="s">
        <v>17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1" ht="19.5" x14ac:dyDescent="0.4">
      <c r="A2" s="35" t="s">
        <v>0</v>
      </c>
      <c r="B2" s="35"/>
      <c r="C2" s="35"/>
      <c r="D2" s="35"/>
      <c r="E2" s="35"/>
      <c r="F2" s="35"/>
      <c r="G2" s="35"/>
      <c r="H2" s="35"/>
      <c r="I2" s="35"/>
      <c r="J2" s="35"/>
      <c r="K2" s="35"/>
    </row>
    <row r="3" spans="1:11" ht="15.75" x14ac:dyDescent="0.25">
      <c r="A3" s="4" t="s">
        <v>1</v>
      </c>
      <c r="B3" s="4" t="s">
        <v>2</v>
      </c>
      <c r="C3" s="5" t="s">
        <v>18</v>
      </c>
      <c r="D3" s="5" t="s">
        <v>19</v>
      </c>
      <c r="E3" s="5" t="s">
        <v>20</v>
      </c>
      <c r="F3" s="5" t="s">
        <v>21</v>
      </c>
      <c r="G3" s="5" t="s">
        <v>22</v>
      </c>
      <c r="H3" s="5" t="s">
        <v>23</v>
      </c>
      <c r="I3" s="5" t="s">
        <v>24</v>
      </c>
      <c r="J3" s="5" t="s">
        <v>25</v>
      </c>
      <c r="K3" s="5" t="s">
        <v>26</v>
      </c>
    </row>
    <row r="4" spans="1:11" ht="15.75" customHeight="1" x14ac:dyDescent="0.25">
      <c r="A4" s="43" t="s">
        <v>10</v>
      </c>
      <c r="B4" s="6" t="s">
        <v>6</v>
      </c>
      <c r="C4" s="10">
        <v>5</v>
      </c>
      <c r="D4" s="10">
        <v>5</v>
      </c>
      <c r="E4" s="10">
        <v>5</v>
      </c>
      <c r="F4" s="10">
        <v>5</v>
      </c>
      <c r="G4" s="10">
        <v>5</v>
      </c>
      <c r="H4" s="10">
        <v>5</v>
      </c>
      <c r="I4" s="10">
        <v>5</v>
      </c>
      <c r="J4" s="10">
        <v>5</v>
      </c>
      <c r="K4" s="10">
        <v>5</v>
      </c>
    </row>
    <row r="5" spans="1:11" ht="15.75" customHeight="1" x14ac:dyDescent="0.25">
      <c r="A5" s="44"/>
      <c r="B5" s="6" t="s">
        <v>27</v>
      </c>
      <c r="C5" s="10">
        <v>1</v>
      </c>
      <c r="D5" s="10">
        <v>1</v>
      </c>
      <c r="E5" s="10">
        <v>2</v>
      </c>
      <c r="F5" s="10">
        <v>2</v>
      </c>
      <c r="G5" s="10">
        <v>2</v>
      </c>
      <c r="H5" s="10">
        <v>2</v>
      </c>
      <c r="I5" s="10">
        <v>2</v>
      </c>
      <c r="J5" s="10">
        <v>2</v>
      </c>
      <c r="K5" s="10">
        <v>2</v>
      </c>
    </row>
    <row r="6" spans="1:11" ht="15.75" customHeight="1" x14ac:dyDescent="0.25">
      <c r="A6" s="44"/>
      <c r="B6" s="6" t="s">
        <v>28</v>
      </c>
      <c r="C6" s="10">
        <v>2</v>
      </c>
      <c r="D6" s="10">
        <v>2</v>
      </c>
      <c r="E6" s="10">
        <v>3</v>
      </c>
      <c r="F6" s="10">
        <v>3</v>
      </c>
      <c r="G6" s="10">
        <v>3</v>
      </c>
      <c r="H6" s="10">
        <v>3</v>
      </c>
      <c r="I6" s="10"/>
      <c r="J6" s="10"/>
      <c r="K6" s="10"/>
    </row>
    <row r="7" spans="1:11" ht="15.75" customHeight="1" x14ac:dyDescent="0.25">
      <c r="A7" s="44"/>
      <c r="B7" s="6" t="s">
        <v>29</v>
      </c>
      <c r="C7" s="10"/>
      <c r="D7" s="10"/>
      <c r="E7" s="10"/>
      <c r="F7" s="10"/>
      <c r="G7" s="10"/>
      <c r="H7" s="10"/>
      <c r="I7" s="10">
        <v>2</v>
      </c>
      <c r="J7" s="10">
        <v>2</v>
      </c>
      <c r="K7" s="10">
        <v>2</v>
      </c>
    </row>
    <row r="8" spans="1:11" ht="19.5" customHeight="1" x14ac:dyDescent="0.25">
      <c r="A8" s="44"/>
      <c r="B8" s="6" t="s">
        <v>30</v>
      </c>
      <c r="C8" s="10"/>
      <c r="D8" s="10"/>
      <c r="E8" s="10"/>
      <c r="F8" s="10"/>
      <c r="G8" s="10"/>
      <c r="H8" s="10"/>
      <c r="I8" s="10">
        <v>2</v>
      </c>
      <c r="J8" s="10">
        <v>2</v>
      </c>
      <c r="K8" s="10">
        <v>2</v>
      </c>
    </row>
    <row r="9" spans="1:11" ht="15.75" customHeight="1" x14ac:dyDescent="0.25">
      <c r="A9" s="44"/>
      <c r="B9" s="6" t="s">
        <v>31</v>
      </c>
      <c r="C9" s="10"/>
      <c r="D9" s="10"/>
      <c r="E9" s="10"/>
      <c r="F9" s="10"/>
      <c r="G9" s="10"/>
      <c r="H9" s="10"/>
      <c r="I9" s="10">
        <v>2</v>
      </c>
      <c r="J9" s="10">
        <v>2</v>
      </c>
      <c r="K9" s="10">
        <v>2</v>
      </c>
    </row>
    <row r="10" spans="1:11" ht="15.75" customHeight="1" x14ac:dyDescent="0.25">
      <c r="A10" s="44"/>
      <c r="B10" s="6" t="s">
        <v>32</v>
      </c>
      <c r="C10" s="10">
        <v>10</v>
      </c>
      <c r="D10" s="10">
        <v>10</v>
      </c>
      <c r="E10" s="10">
        <v>10</v>
      </c>
      <c r="F10" s="10">
        <v>10</v>
      </c>
      <c r="G10" s="10">
        <v>10</v>
      </c>
      <c r="H10" s="10">
        <v>10</v>
      </c>
      <c r="I10" s="10">
        <v>10</v>
      </c>
      <c r="J10" s="10">
        <v>10</v>
      </c>
      <c r="K10" s="10">
        <v>10</v>
      </c>
    </row>
    <row r="11" spans="1:11" ht="15.75" customHeight="1" x14ac:dyDescent="0.25">
      <c r="A11" s="44"/>
      <c r="B11" s="6" t="s">
        <v>33</v>
      </c>
      <c r="C11" s="10">
        <v>2</v>
      </c>
      <c r="D11" s="10">
        <v>2</v>
      </c>
      <c r="E11" s="10">
        <v>2</v>
      </c>
      <c r="F11" s="10">
        <v>2</v>
      </c>
      <c r="G11" s="10">
        <v>2</v>
      </c>
      <c r="H11" s="10">
        <v>2</v>
      </c>
      <c r="I11" s="10">
        <v>2</v>
      </c>
      <c r="J11" s="10">
        <v>2</v>
      </c>
      <c r="K11" s="10">
        <v>2</v>
      </c>
    </row>
    <row r="12" spans="1:11" ht="15.75" customHeight="1" x14ac:dyDescent="0.25">
      <c r="A12" s="44"/>
      <c r="B12" s="6" t="s">
        <v>54</v>
      </c>
      <c r="C12" s="10">
        <v>1</v>
      </c>
      <c r="D12" s="10">
        <v>1</v>
      </c>
      <c r="E12" s="10">
        <v>1</v>
      </c>
      <c r="F12" s="10">
        <v>1</v>
      </c>
      <c r="G12" s="10">
        <v>1</v>
      </c>
      <c r="H12" s="10">
        <v>1</v>
      </c>
      <c r="I12" s="10">
        <v>1</v>
      </c>
      <c r="J12" s="10">
        <v>1</v>
      </c>
      <c r="K12" s="10">
        <v>1</v>
      </c>
    </row>
    <row r="13" spans="1:11" ht="15.75" customHeight="1" x14ac:dyDescent="0.25">
      <c r="A13" s="44"/>
      <c r="B13" s="6" t="s">
        <v>55</v>
      </c>
      <c r="C13" s="10">
        <v>2</v>
      </c>
      <c r="D13" s="10">
        <v>2</v>
      </c>
      <c r="E13" s="11"/>
      <c r="F13" s="11"/>
      <c r="G13" s="11"/>
      <c r="H13" s="11"/>
      <c r="I13" s="11"/>
      <c r="J13" s="11"/>
      <c r="K13" s="11"/>
    </row>
    <row r="14" spans="1:11" ht="15.75" customHeight="1" x14ac:dyDescent="0.25">
      <c r="A14" s="45"/>
      <c r="B14" s="7" t="s">
        <v>9</v>
      </c>
      <c r="C14" s="5">
        <f>SUM(C4:C13)</f>
        <v>23</v>
      </c>
      <c r="D14" s="5">
        <f>SUM(D4:D13)</f>
        <v>23</v>
      </c>
      <c r="E14" s="5">
        <f t="shared" ref="E14:K14" si="0">SUM(E4:E12)</f>
        <v>23</v>
      </c>
      <c r="F14" s="5">
        <f t="shared" si="0"/>
        <v>23</v>
      </c>
      <c r="G14" s="5">
        <f t="shared" si="0"/>
        <v>23</v>
      </c>
      <c r="H14" s="5">
        <f t="shared" si="0"/>
        <v>23</v>
      </c>
      <c r="I14" s="5">
        <f t="shared" si="0"/>
        <v>26</v>
      </c>
      <c r="J14" s="5">
        <f t="shared" si="0"/>
        <v>26</v>
      </c>
      <c r="K14" s="5">
        <f t="shared" si="0"/>
        <v>26</v>
      </c>
    </row>
    <row r="15" spans="1:11" ht="15.75" customHeight="1" x14ac:dyDescent="0.25">
      <c r="A15" s="48" t="s">
        <v>13</v>
      </c>
      <c r="B15" s="6" t="s">
        <v>11</v>
      </c>
      <c r="C15" s="10">
        <v>6</v>
      </c>
      <c r="D15" s="10">
        <v>6</v>
      </c>
      <c r="E15" s="10">
        <v>5</v>
      </c>
      <c r="F15" s="10">
        <v>5</v>
      </c>
      <c r="G15" s="10">
        <v>5</v>
      </c>
      <c r="H15" s="10">
        <v>5</v>
      </c>
      <c r="I15" s="10">
        <v>5</v>
      </c>
      <c r="J15" s="10">
        <v>5</v>
      </c>
      <c r="K15" s="10">
        <v>5</v>
      </c>
    </row>
    <row r="16" spans="1:11" ht="15.75" customHeight="1" x14ac:dyDescent="0.25">
      <c r="A16" s="49"/>
      <c r="B16" s="6" t="s">
        <v>34</v>
      </c>
      <c r="C16" s="10">
        <v>2</v>
      </c>
      <c r="D16" s="10">
        <v>2</v>
      </c>
      <c r="E16" s="10">
        <v>4</v>
      </c>
      <c r="F16" s="10">
        <v>4</v>
      </c>
      <c r="G16" s="10">
        <v>4</v>
      </c>
      <c r="H16" s="10">
        <v>4</v>
      </c>
      <c r="I16" s="10">
        <v>5</v>
      </c>
      <c r="J16" s="10">
        <v>5</v>
      </c>
      <c r="K16" s="10">
        <v>5</v>
      </c>
    </row>
    <row r="17" spans="1:12" ht="15.75" x14ac:dyDescent="0.25">
      <c r="A17" s="50"/>
      <c r="B17" s="7" t="s">
        <v>9</v>
      </c>
      <c r="C17" s="5">
        <f t="shared" ref="C17:K17" si="1">SUM(C15:C16)</f>
        <v>8</v>
      </c>
      <c r="D17" s="5">
        <f t="shared" si="1"/>
        <v>8</v>
      </c>
      <c r="E17" s="5">
        <f t="shared" si="1"/>
        <v>9</v>
      </c>
      <c r="F17" s="5">
        <f t="shared" si="1"/>
        <v>9</v>
      </c>
      <c r="G17" s="5">
        <f t="shared" si="1"/>
        <v>9</v>
      </c>
      <c r="H17" s="5">
        <f t="shared" si="1"/>
        <v>9</v>
      </c>
      <c r="I17" s="5">
        <f t="shared" si="1"/>
        <v>10</v>
      </c>
      <c r="J17" s="5">
        <f t="shared" si="1"/>
        <v>10</v>
      </c>
      <c r="K17" s="5">
        <f t="shared" si="1"/>
        <v>10</v>
      </c>
    </row>
    <row r="18" spans="1:12" ht="15.75" x14ac:dyDescent="0.25">
      <c r="A18" s="41" t="s">
        <v>16</v>
      </c>
      <c r="B18" s="6" t="s">
        <v>35</v>
      </c>
      <c r="C18" s="10">
        <v>2</v>
      </c>
      <c r="D18" s="10">
        <v>2</v>
      </c>
      <c r="E18" s="10">
        <v>1</v>
      </c>
      <c r="F18" s="10">
        <v>1</v>
      </c>
      <c r="G18" s="10">
        <v>1</v>
      </c>
      <c r="H18" s="10">
        <v>1</v>
      </c>
      <c r="I18" s="10">
        <v>2</v>
      </c>
      <c r="J18" s="10">
        <v>2</v>
      </c>
      <c r="K18" s="10">
        <v>2</v>
      </c>
    </row>
    <row r="19" spans="1:12" ht="15.75" x14ac:dyDescent="0.25">
      <c r="A19" s="42"/>
      <c r="B19" s="6" t="s">
        <v>14</v>
      </c>
      <c r="C19" s="10">
        <v>1</v>
      </c>
      <c r="D19" s="10">
        <v>1</v>
      </c>
      <c r="E19" s="10">
        <v>2</v>
      </c>
      <c r="F19" s="10">
        <v>2</v>
      </c>
      <c r="G19" s="10">
        <v>2</v>
      </c>
      <c r="H19" s="10">
        <v>2</v>
      </c>
      <c r="I19" s="10">
        <v>2</v>
      </c>
      <c r="J19" s="10">
        <v>2</v>
      </c>
      <c r="K19" s="10">
        <v>2</v>
      </c>
    </row>
    <row r="20" spans="1:12" ht="15.75" x14ac:dyDescent="0.25">
      <c r="A20" s="42"/>
      <c r="B20" s="6" t="s">
        <v>36</v>
      </c>
      <c r="C20" s="10">
        <v>1</v>
      </c>
      <c r="D20" s="10">
        <v>1</v>
      </c>
      <c r="E20" s="10">
        <v>1</v>
      </c>
      <c r="F20" s="10">
        <v>1</v>
      </c>
      <c r="G20" s="10">
        <v>1</v>
      </c>
      <c r="H20" s="10">
        <v>1</v>
      </c>
      <c r="I20" s="10">
        <v>1</v>
      </c>
      <c r="J20" s="10"/>
      <c r="K20" s="10"/>
    </row>
    <row r="21" spans="1:12" ht="15.75" x14ac:dyDescent="0.25">
      <c r="A21" s="42"/>
      <c r="B21" s="6" t="s">
        <v>37</v>
      </c>
      <c r="C21" s="10">
        <v>2</v>
      </c>
      <c r="D21" s="10">
        <v>2</v>
      </c>
      <c r="E21" s="10">
        <v>1</v>
      </c>
      <c r="F21" s="10">
        <v>1</v>
      </c>
      <c r="G21" s="10">
        <v>1</v>
      </c>
      <c r="H21" s="10">
        <v>1</v>
      </c>
      <c r="I21" s="10"/>
      <c r="J21" s="10"/>
      <c r="K21" s="10"/>
    </row>
    <row r="22" spans="1:12" ht="15.75" x14ac:dyDescent="0.25">
      <c r="A22" s="42"/>
      <c r="B22" s="6" t="s">
        <v>38</v>
      </c>
      <c r="C22" s="10">
        <v>1</v>
      </c>
      <c r="D22" s="10">
        <v>1</v>
      </c>
      <c r="E22" s="10">
        <v>1</v>
      </c>
      <c r="F22" s="10">
        <v>1</v>
      </c>
      <c r="G22" s="10">
        <v>1</v>
      </c>
      <c r="H22" s="10">
        <v>1</v>
      </c>
      <c r="I22" s="10">
        <v>1</v>
      </c>
      <c r="J22" s="10">
        <v>1</v>
      </c>
      <c r="K22" s="10">
        <v>1</v>
      </c>
    </row>
    <row r="23" spans="1:12" ht="15.75" x14ac:dyDescent="0.25">
      <c r="A23" s="42"/>
      <c r="B23" s="6" t="s">
        <v>39</v>
      </c>
      <c r="C23" s="10"/>
      <c r="D23" s="10"/>
      <c r="E23" s="10"/>
      <c r="F23" s="10"/>
      <c r="G23" s="10"/>
      <c r="H23" s="10"/>
      <c r="I23" s="10">
        <v>1</v>
      </c>
      <c r="J23" s="10"/>
      <c r="K23" s="10"/>
    </row>
    <row r="24" spans="1:12" ht="15.75" x14ac:dyDescent="0.25">
      <c r="A24" s="42"/>
      <c r="B24" s="6" t="s">
        <v>40</v>
      </c>
      <c r="C24" s="10"/>
      <c r="D24" s="10"/>
      <c r="E24" s="10"/>
      <c r="F24" s="10"/>
      <c r="G24" s="10"/>
      <c r="H24" s="10"/>
      <c r="I24" s="10"/>
      <c r="J24" s="10">
        <v>2</v>
      </c>
      <c r="K24" s="10"/>
    </row>
    <row r="25" spans="1:12" ht="15.75" x14ac:dyDescent="0.25">
      <c r="A25" s="42"/>
      <c r="B25" s="6" t="s">
        <v>41</v>
      </c>
      <c r="C25" s="10"/>
      <c r="D25" s="10"/>
      <c r="E25" s="10"/>
      <c r="F25" s="10"/>
      <c r="G25" s="10"/>
      <c r="H25" s="10"/>
      <c r="I25" s="10"/>
      <c r="J25" s="10"/>
      <c r="K25" s="10">
        <v>2</v>
      </c>
    </row>
    <row r="26" spans="1:12" ht="15.75" x14ac:dyDescent="0.25">
      <c r="A26" s="42"/>
      <c r="B26" s="6" t="s">
        <v>12</v>
      </c>
      <c r="C26" s="10">
        <v>2</v>
      </c>
      <c r="D26" s="10">
        <v>2</v>
      </c>
      <c r="E26" s="10">
        <v>2</v>
      </c>
      <c r="F26" s="10">
        <v>2</v>
      </c>
      <c r="G26" s="10">
        <v>2</v>
      </c>
      <c r="H26" s="10">
        <v>2</v>
      </c>
      <c r="I26" s="10">
        <v>2</v>
      </c>
      <c r="J26" s="10">
        <v>2</v>
      </c>
      <c r="K26" s="10">
        <v>2</v>
      </c>
    </row>
    <row r="27" spans="1:12" ht="16.5" thickBot="1" x14ac:dyDescent="0.3">
      <c r="A27" s="42"/>
      <c r="B27" s="8" t="s">
        <v>9</v>
      </c>
      <c r="C27" s="12">
        <f t="shared" ref="C27:K27" si="2">SUM(C18:C26)</f>
        <v>9</v>
      </c>
      <c r="D27" s="12">
        <f>SUM(D18:D26)</f>
        <v>9</v>
      </c>
      <c r="E27" s="12">
        <f t="shared" si="2"/>
        <v>8</v>
      </c>
      <c r="F27" s="12">
        <f t="shared" si="2"/>
        <v>8</v>
      </c>
      <c r="G27" s="12">
        <f t="shared" si="2"/>
        <v>8</v>
      </c>
      <c r="H27" s="12">
        <f t="shared" si="2"/>
        <v>8</v>
      </c>
      <c r="I27" s="12">
        <f t="shared" si="2"/>
        <v>9</v>
      </c>
      <c r="J27" s="12">
        <f t="shared" si="2"/>
        <v>9</v>
      </c>
      <c r="K27" s="12">
        <f t="shared" si="2"/>
        <v>9</v>
      </c>
    </row>
    <row r="28" spans="1:12" ht="16.5" thickBot="1" x14ac:dyDescent="0.3">
      <c r="A28" s="46" t="s">
        <v>15</v>
      </c>
      <c r="B28" s="47"/>
      <c r="C28" s="13">
        <f t="shared" ref="C28:K28" si="3">+C14+C17+C27</f>
        <v>40</v>
      </c>
      <c r="D28" s="13">
        <f t="shared" si="3"/>
        <v>40</v>
      </c>
      <c r="E28" s="13">
        <f t="shared" si="3"/>
        <v>40</v>
      </c>
      <c r="F28" s="13">
        <f t="shared" si="3"/>
        <v>40</v>
      </c>
      <c r="G28" s="13">
        <f t="shared" si="3"/>
        <v>40</v>
      </c>
      <c r="H28" s="13">
        <f t="shared" si="3"/>
        <v>40</v>
      </c>
      <c r="I28" s="13">
        <f t="shared" si="3"/>
        <v>45</v>
      </c>
      <c r="J28" s="13">
        <f t="shared" si="3"/>
        <v>45</v>
      </c>
      <c r="K28" s="14">
        <f t="shared" si="3"/>
        <v>45</v>
      </c>
    </row>
    <row r="29" spans="1:12" ht="15.75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1" spans="1:12" ht="15.75" x14ac:dyDescent="0.25">
      <c r="L31" s="1"/>
    </row>
  </sheetData>
  <mergeCells count="6">
    <mergeCell ref="A18:A27"/>
    <mergeCell ref="A4:A14"/>
    <mergeCell ref="A28:B28"/>
    <mergeCell ref="A15:A17"/>
    <mergeCell ref="A1:K1"/>
    <mergeCell ref="A2:K2"/>
  </mergeCells>
  <pageMargins left="0.7" right="0.7" top="0.75" bottom="0.75" header="0.3" footer="0.3"/>
  <pageSetup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3"/>
  <sheetViews>
    <sheetView tabSelected="1" topLeftCell="A34" workbookViewId="0">
      <selection activeCell="B42" sqref="B42"/>
    </sheetView>
  </sheetViews>
  <sheetFormatPr baseColWidth="10" defaultRowHeight="15" x14ac:dyDescent="0.25"/>
  <cols>
    <col min="2" max="2" width="49.5703125" customWidth="1"/>
    <col min="6" max="6" width="14.5703125" customWidth="1"/>
  </cols>
  <sheetData>
    <row r="1" spans="1:7" x14ac:dyDescent="0.25">
      <c r="A1" s="52" t="s">
        <v>107</v>
      </c>
      <c r="B1" s="52"/>
      <c r="C1" s="52"/>
      <c r="D1" s="52"/>
      <c r="E1" s="52"/>
      <c r="F1" s="52"/>
      <c r="G1" s="9"/>
    </row>
    <row r="2" spans="1:7" x14ac:dyDescent="0.25">
      <c r="A2" s="52"/>
      <c r="B2" s="52"/>
      <c r="C2" s="52"/>
      <c r="D2" s="52"/>
      <c r="E2" s="52"/>
      <c r="F2" s="52"/>
      <c r="G2" s="9"/>
    </row>
    <row r="3" spans="1:7" x14ac:dyDescent="0.25">
      <c r="A3" s="55" t="s">
        <v>57</v>
      </c>
      <c r="B3" s="55" t="s">
        <v>63</v>
      </c>
      <c r="C3" s="55" t="s">
        <v>64</v>
      </c>
      <c r="D3" s="55"/>
      <c r="E3" s="55"/>
      <c r="F3" s="57" t="s">
        <v>65</v>
      </c>
      <c r="G3" s="9"/>
    </row>
    <row r="4" spans="1:7" x14ac:dyDescent="0.25">
      <c r="A4" s="55"/>
      <c r="B4" s="55"/>
      <c r="C4" s="55" t="s">
        <v>66</v>
      </c>
      <c r="D4" s="55"/>
      <c r="E4" s="55"/>
      <c r="F4" s="57"/>
      <c r="G4" s="9"/>
    </row>
    <row r="5" spans="1:7" x14ac:dyDescent="0.25">
      <c r="A5" s="55"/>
      <c r="B5" s="55"/>
      <c r="C5" s="15" t="s">
        <v>3</v>
      </c>
      <c r="D5" s="15" t="s">
        <v>4</v>
      </c>
      <c r="E5" s="15" t="s">
        <v>5</v>
      </c>
      <c r="F5" s="57"/>
      <c r="G5" s="9"/>
    </row>
    <row r="6" spans="1:7" x14ac:dyDescent="0.25">
      <c r="A6" s="53" t="s">
        <v>58</v>
      </c>
      <c r="B6" s="16" t="s">
        <v>67</v>
      </c>
      <c r="C6" s="17">
        <v>5</v>
      </c>
      <c r="D6" s="17">
        <v>5</v>
      </c>
      <c r="E6" s="17">
        <v>5</v>
      </c>
      <c r="F6" s="17">
        <v>15</v>
      </c>
      <c r="G6" s="9"/>
    </row>
    <row r="7" spans="1:7" x14ac:dyDescent="0.25">
      <c r="A7" s="53"/>
      <c r="B7" s="16" t="s">
        <v>68</v>
      </c>
      <c r="C7" s="17">
        <v>7</v>
      </c>
      <c r="D7" s="17">
        <v>6</v>
      </c>
      <c r="E7" s="17">
        <v>7</v>
      </c>
      <c r="F7" s="17">
        <v>20</v>
      </c>
      <c r="G7" s="9"/>
    </row>
    <row r="8" spans="1:7" x14ac:dyDescent="0.25">
      <c r="A8" s="53"/>
      <c r="B8" s="16" t="s">
        <v>69</v>
      </c>
      <c r="C8" s="17">
        <v>2</v>
      </c>
      <c r="D8" s="17" t="s">
        <v>59</v>
      </c>
      <c r="E8" s="17" t="s">
        <v>59</v>
      </c>
      <c r="F8" s="17">
        <v>2</v>
      </c>
      <c r="G8" s="9"/>
    </row>
    <row r="9" spans="1:7" x14ac:dyDescent="0.25">
      <c r="A9" s="53"/>
      <c r="B9" s="16" t="s">
        <v>70</v>
      </c>
      <c r="C9" s="17" t="s">
        <v>59</v>
      </c>
      <c r="D9" s="17">
        <v>2</v>
      </c>
      <c r="E9" s="17" t="s">
        <v>59</v>
      </c>
      <c r="F9" s="17">
        <v>2</v>
      </c>
      <c r="G9" s="9"/>
    </row>
    <row r="10" spans="1:7" x14ac:dyDescent="0.25">
      <c r="A10" s="53"/>
      <c r="B10" s="16" t="s">
        <v>71</v>
      </c>
      <c r="C10" s="18" t="s">
        <v>59</v>
      </c>
      <c r="D10" s="18" t="s">
        <v>59</v>
      </c>
      <c r="E10" s="18">
        <v>2</v>
      </c>
      <c r="F10" s="17">
        <v>2</v>
      </c>
      <c r="G10" s="9"/>
    </row>
    <row r="11" spans="1:7" x14ac:dyDescent="0.25">
      <c r="A11" s="53"/>
      <c r="B11" s="16" t="s">
        <v>72</v>
      </c>
      <c r="C11" s="17">
        <v>3</v>
      </c>
      <c r="D11" s="17" t="s">
        <v>59</v>
      </c>
      <c r="E11" s="17" t="s">
        <v>59</v>
      </c>
      <c r="F11" s="17">
        <v>3</v>
      </c>
      <c r="G11" s="9"/>
    </row>
    <row r="12" spans="1:7" x14ac:dyDescent="0.25">
      <c r="A12" s="53"/>
      <c r="B12" s="16" t="s">
        <v>73</v>
      </c>
      <c r="C12" s="17"/>
      <c r="D12" s="17">
        <v>3</v>
      </c>
      <c r="E12" s="17" t="s">
        <v>59</v>
      </c>
      <c r="F12" s="17">
        <v>3</v>
      </c>
      <c r="G12" s="9"/>
    </row>
    <row r="13" spans="1:7" x14ac:dyDescent="0.25">
      <c r="A13" s="53"/>
      <c r="B13" s="16" t="s">
        <v>74</v>
      </c>
      <c r="C13" s="17" t="s">
        <v>59</v>
      </c>
      <c r="D13" s="17" t="s">
        <v>59</v>
      </c>
      <c r="E13" s="17">
        <v>2</v>
      </c>
      <c r="F13" s="17">
        <v>2</v>
      </c>
      <c r="G13" s="9"/>
    </row>
    <row r="14" spans="1:7" x14ac:dyDescent="0.25">
      <c r="A14" s="53"/>
      <c r="B14" s="16" t="s">
        <v>8</v>
      </c>
      <c r="C14" s="17" t="s">
        <v>59</v>
      </c>
      <c r="D14" s="17" t="s">
        <v>59</v>
      </c>
      <c r="E14" s="17">
        <v>2</v>
      </c>
      <c r="F14" s="17">
        <v>2</v>
      </c>
      <c r="G14" s="9"/>
    </row>
    <row r="15" spans="1:7" x14ac:dyDescent="0.25">
      <c r="A15" s="53"/>
      <c r="B15" s="16" t="s">
        <v>75</v>
      </c>
      <c r="C15" s="17">
        <v>2</v>
      </c>
      <c r="D15" s="17">
        <v>1</v>
      </c>
      <c r="E15" s="17" t="s">
        <v>59</v>
      </c>
      <c r="F15" s="17">
        <v>3</v>
      </c>
      <c r="G15" s="9"/>
    </row>
    <row r="16" spans="1:7" x14ac:dyDescent="0.25">
      <c r="A16" s="53"/>
      <c r="B16" s="16" t="s">
        <v>76</v>
      </c>
      <c r="C16" s="17" t="s">
        <v>59</v>
      </c>
      <c r="D16" s="17">
        <v>2</v>
      </c>
      <c r="E16" s="17" t="s">
        <v>59</v>
      </c>
      <c r="F16" s="17">
        <v>2</v>
      </c>
      <c r="G16" s="9"/>
    </row>
    <row r="17" spans="1:7" ht="15.75" x14ac:dyDescent="0.25">
      <c r="A17" s="53"/>
      <c r="B17" s="19" t="s">
        <v>77</v>
      </c>
      <c r="C17" s="18">
        <v>1</v>
      </c>
      <c r="D17" s="18">
        <v>1</v>
      </c>
      <c r="E17" s="20">
        <v>1</v>
      </c>
      <c r="F17" s="17">
        <v>3</v>
      </c>
      <c r="G17" s="9"/>
    </row>
    <row r="18" spans="1:7" x14ac:dyDescent="0.25">
      <c r="A18" s="53"/>
      <c r="B18" s="21" t="s">
        <v>78</v>
      </c>
      <c r="C18" s="22">
        <v>20</v>
      </c>
      <c r="D18" s="22">
        <v>20</v>
      </c>
      <c r="E18" s="22">
        <v>19</v>
      </c>
      <c r="F18" s="22">
        <v>59</v>
      </c>
      <c r="G18" s="9"/>
    </row>
    <row r="19" spans="1:7" x14ac:dyDescent="0.25">
      <c r="A19" s="53" t="s">
        <v>61</v>
      </c>
      <c r="B19" s="16" t="s">
        <v>79</v>
      </c>
      <c r="C19" s="17">
        <v>5</v>
      </c>
      <c r="D19" s="17">
        <v>5</v>
      </c>
      <c r="E19" s="17">
        <v>5</v>
      </c>
      <c r="F19" s="17">
        <v>15</v>
      </c>
      <c r="G19" s="9"/>
    </row>
    <row r="20" spans="1:7" x14ac:dyDescent="0.25">
      <c r="A20" s="53"/>
      <c r="B20" s="16" t="s">
        <v>80</v>
      </c>
      <c r="C20" s="17">
        <v>2</v>
      </c>
      <c r="D20" s="17">
        <v>2</v>
      </c>
      <c r="E20" s="17">
        <v>2</v>
      </c>
      <c r="F20" s="17">
        <v>6</v>
      </c>
      <c r="G20" s="9"/>
    </row>
    <row r="21" spans="1:7" x14ac:dyDescent="0.25">
      <c r="A21" s="53"/>
      <c r="B21" s="16"/>
      <c r="C21" s="17"/>
      <c r="D21" s="17"/>
      <c r="E21" s="17"/>
      <c r="F21" s="17"/>
      <c r="G21" s="9"/>
    </row>
    <row r="22" spans="1:7" x14ac:dyDescent="0.25">
      <c r="A22" s="53"/>
      <c r="B22" s="16"/>
      <c r="C22" s="17"/>
      <c r="D22" s="17"/>
      <c r="E22" s="17"/>
      <c r="F22" s="17"/>
      <c r="G22" s="9"/>
    </row>
    <row r="23" spans="1:7" x14ac:dyDescent="0.25">
      <c r="A23" s="53"/>
      <c r="B23" s="21" t="s">
        <v>78</v>
      </c>
      <c r="C23" s="22">
        <v>7</v>
      </c>
      <c r="D23" s="22">
        <v>7</v>
      </c>
      <c r="E23" s="22">
        <v>7</v>
      </c>
      <c r="F23" s="22">
        <v>21</v>
      </c>
      <c r="G23" s="9"/>
    </row>
    <row r="24" spans="1:7" x14ac:dyDescent="0.25">
      <c r="A24" s="53" t="s">
        <v>62</v>
      </c>
      <c r="B24" s="16" t="s">
        <v>81</v>
      </c>
      <c r="C24" s="17">
        <v>4</v>
      </c>
      <c r="D24" s="17" t="s">
        <v>59</v>
      </c>
      <c r="E24" s="17" t="s">
        <v>59</v>
      </c>
      <c r="F24" s="17">
        <v>4</v>
      </c>
      <c r="G24" s="9"/>
    </row>
    <row r="25" spans="1:7" x14ac:dyDescent="0.25">
      <c r="A25" s="53"/>
      <c r="B25" s="16" t="s">
        <v>82</v>
      </c>
      <c r="C25" s="17">
        <v>2</v>
      </c>
      <c r="D25" s="17">
        <v>2</v>
      </c>
      <c r="E25" s="17">
        <v>2</v>
      </c>
      <c r="F25" s="17">
        <v>6</v>
      </c>
      <c r="G25" s="9"/>
    </row>
    <row r="26" spans="1:7" x14ac:dyDescent="0.25">
      <c r="A26" s="53"/>
      <c r="B26" s="23" t="s">
        <v>83</v>
      </c>
      <c r="C26" s="18">
        <v>3</v>
      </c>
      <c r="D26" s="18">
        <v>2</v>
      </c>
      <c r="E26" s="18" t="s">
        <v>59</v>
      </c>
      <c r="F26" s="17">
        <v>5</v>
      </c>
      <c r="G26" s="9"/>
    </row>
    <row r="27" spans="1:7" x14ac:dyDescent="0.25">
      <c r="A27" s="53"/>
      <c r="B27" s="23" t="s">
        <v>84</v>
      </c>
      <c r="C27" s="18">
        <v>5</v>
      </c>
      <c r="D27" s="18">
        <v>4</v>
      </c>
      <c r="E27" s="18">
        <v>4</v>
      </c>
      <c r="F27" s="17">
        <v>13</v>
      </c>
      <c r="G27" s="9"/>
    </row>
    <row r="28" spans="1:7" x14ac:dyDescent="0.25">
      <c r="A28" s="53"/>
      <c r="B28" s="23" t="s">
        <v>85</v>
      </c>
      <c r="C28" s="18" t="s">
        <v>59</v>
      </c>
      <c r="D28" s="18">
        <v>2</v>
      </c>
      <c r="E28" s="18"/>
      <c r="F28" s="17">
        <v>2</v>
      </c>
      <c r="G28" s="9"/>
    </row>
    <row r="29" spans="1:7" x14ac:dyDescent="0.25">
      <c r="A29" s="53"/>
      <c r="B29" s="23" t="s">
        <v>86</v>
      </c>
      <c r="C29" s="18" t="s">
        <v>59</v>
      </c>
      <c r="D29" s="18" t="s">
        <v>59</v>
      </c>
      <c r="E29" s="18">
        <v>2</v>
      </c>
      <c r="F29" s="17">
        <v>2</v>
      </c>
      <c r="G29" s="9"/>
    </row>
    <row r="30" spans="1:7" x14ac:dyDescent="0.25">
      <c r="A30" s="53"/>
      <c r="B30" s="23" t="s">
        <v>87</v>
      </c>
      <c r="C30" s="18">
        <v>2</v>
      </c>
      <c r="D30" s="18">
        <v>2</v>
      </c>
      <c r="E30" s="18" t="s">
        <v>59</v>
      </c>
      <c r="F30" s="17">
        <v>4</v>
      </c>
      <c r="G30" s="9"/>
    </row>
    <row r="31" spans="1:7" x14ac:dyDescent="0.25">
      <c r="A31" s="53"/>
      <c r="B31" s="23" t="s">
        <v>88</v>
      </c>
      <c r="C31" s="18">
        <v>2</v>
      </c>
      <c r="D31" s="18">
        <v>2</v>
      </c>
      <c r="E31" s="18">
        <v>2</v>
      </c>
      <c r="F31" s="17">
        <v>6</v>
      </c>
      <c r="G31" s="9"/>
    </row>
    <row r="32" spans="1:7" x14ac:dyDescent="0.25">
      <c r="A32" s="53"/>
      <c r="B32" s="23" t="s">
        <v>89</v>
      </c>
      <c r="C32" s="18" t="s">
        <v>59</v>
      </c>
      <c r="D32" s="18">
        <v>2</v>
      </c>
      <c r="E32" s="18">
        <v>3</v>
      </c>
      <c r="F32" s="17">
        <v>5</v>
      </c>
      <c r="G32" s="9"/>
    </row>
    <row r="33" spans="1:7" x14ac:dyDescent="0.25">
      <c r="A33" s="53"/>
      <c r="B33" s="23" t="s">
        <v>90</v>
      </c>
      <c r="C33" s="18" t="s">
        <v>59</v>
      </c>
      <c r="D33" s="18">
        <v>1</v>
      </c>
      <c r="E33" s="18">
        <v>2</v>
      </c>
      <c r="F33" s="17">
        <v>3</v>
      </c>
      <c r="G33" s="9"/>
    </row>
    <row r="34" spans="1:7" x14ac:dyDescent="0.25">
      <c r="A34" s="53"/>
      <c r="B34" s="23" t="s">
        <v>91</v>
      </c>
      <c r="C34" s="18" t="s">
        <v>59</v>
      </c>
      <c r="D34" s="18"/>
      <c r="E34" s="18" t="s">
        <v>59</v>
      </c>
      <c r="F34" s="17">
        <v>0</v>
      </c>
      <c r="G34" s="9"/>
    </row>
    <row r="35" spans="1:7" x14ac:dyDescent="0.25">
      <c r="A35" s="53"/>
      <c r="B35" s="23" t="s">
        <v>92</v>
      </c>
      <c r="C35" s="18" t="s">
        <v>59</v>
      </c>
      <c r="D35" s="18" t="s">
        <v>59</v>
      </c>
      <c r="E35" s="18">
        <v>2</v>
      </c>
      <c r="F35" s="17">
        <v>2</v>
      </c>
      <c r="G35" s="9"/>
    </row>
    <row r="36" spans="1:7" x14ac:dyDescent="0.25">
      <c r="A36" s="53"/>
      <c r="B36" s="23" t="s">
        <v>93</v>
      </c>
      <c r="C36" s="18" t="s">
        <v>59</v>
      </c>
      <c r="D36" s="18">
        <v>1</v>
      </c>
      <c r="E36" s="18">
        <v>2</v>
      </c>
      <c r="F36" s="17">
        <v>3</v>
      </c>
      <c r="G36" s="9"/>
    </row>
    <row r="37" spans="1:7" x14ac:dyDescent="0.25">
      <c r="A37" s="53"/>
      <c r="B37" s="21" t="s">
        <v>78</v>
      </c>
      <c r="C37" s="22">
        <v>18</v>
      </c>
      <c r="D37" s="22">
        <v>18</v>
      </c>
      <c r="E37" s="22">
        <v>19</v>
      </c>
      <c r="F37" s="22">
        <v>55</v>
      </c>
      <c r="G37" s="9"/>
    </row>
    <row r="38" spans="1:7" x14ac:dyDescent="0.25">
      <c r="A38" s="54"/>
      <c r="B38" s="24" t="s">
        <v>94</v>
      </c>
      <c r="C38" s="15">
        <v>45</v>
      </c>
      <c r="D38" s="15">
        <v>45</v>
      </c>
      <c r="E38" s="15">
        <v>45</v>
      </c>
      <c r="F38" s="15">
        <v>270</v>
      </c>
      <c r="G38" s="9"/>
    </row>
    <row r="39" spans="1:7" x14ac:dyDescent="0.25">
      <c r="A39" s="54"/>
      <c r="B39" s="24" t="s">
        <v>95</v>
      </c>
      <c r="C39" s="15">
        <v>14</v>
      </c>
      <c r="D39" s="15">
        <v>18</v>
      </c>
      <c r="E39" s="15">
        <v>16</v>
      </c>
      <c r="F39" s="15">
        <v>34</v>
      </c>
      <c r="G39" s="9"/>
    </row>
    <row r="40" spans="1:7" x14ac:dyDescent="0.25">
      <c r="A40" s="55" t="s">
        <v>96</v>
      </c>
      <c r="B40" s="55"/>
      <c r="C40" s="55"/>
      <c r="D40" s="55"/>
      <c r="E40" s="55"/>
      <c r="F40" s="55"/>
      <c r="G40" s="9"/>
    </row>
    <row r="41" spans="1:7" x14ac:dyDescent="0.25">
      <c r="A41" s="25"/>
      <c r="B41" s="25"/>
      <c r="C41" s="25"/>
      <c r="D41" s="25"/>
      <c r="E41" s="25"/>
      <c r="F41" s="25"/>
      <c r="G41" s="9"/>
    </row>
    <row r="42" spans="1:7" x14ac:dyDescent="0.25">
      <c r="A42" s="25"/>
      <c r="B42" s="25"/>
      <c r="C42" s="25"/>
      <c r="D42" s="25"/>
      <c r="E42" s="25"/>
      <c r="F42" s="25"/>
      <c r="G42" s="9"/>
    </row>
    <row r="43" spans="1:7" x14ac:dyDescent="0.25">
      <c r="G43" s="9"/>
    </row>
    <row r="44" spans="1:7" x14ac:dyDescent="0.25">
      <c r="A44" s="52" t="s">
        <v>108</v>
      </c>
      <c r="B44" s="52"/>
      <c r="C44" s="52"/>
      <c r="D44" s="52"/>
      <c r="E44" s="52"/>
      <c r="F44" s="52"/>
    </row>
    <row r="45" spans="1:7" x14ac:dyDescent="0.25">
      <c r="A45" s="52"/>
      <c r="B45" s="52"/>
      <c r="C45" s="52"/>
      <c r="D45" s="52"/>
      <c r="E45" s="52"/>
      <c r="F45" s="52"/>
    </row>
    <row r="46" spans="1:7" ht="15.75" x14ac:dyDescent="0.25">
      <c r="A46" s="26" t="s">
        <v>57</v>
      </c>
      <c r="B46" s="56" t="s">
        <v>63</v>
      </c>
      <c r="C46" s="56" t="s">
        <v>64</v>
      </c>
      <c r="D46" s="56"/>
      <c r="E46" s="56"/>
      <c r="F46" s="56" t="s">
        <v>65</v>
      </c>
    </row>
    <row r="47" spans="1:7" ht="15.75" x14ac:dyDescent="0.25">
      <c r="A47" s="51" t="s">
        <v>58</v>
      </c>
      <c r="B47" s="56"/>
      <c r="C47" s="56" t="s">
        <v>66</v>
      </c>
      <c r="D47" s="56"/>
      <c r="E47" s="56"/>
      <c r="F47" s="56"/>
    </row>
    <row r="48" spans="1:7" ht="15.75" x14ac:dyDescent="0.25">
      <c r="A48" s="51"/>
      <c r="B48" s="56"/>
      <c r="C48" s="26" t="s">
        <v>3</v>
      </c>
      <c r="D48" s="26" t="s">
        <v>4</v>
      </c>
      <c r="E48" s="26" t="s">
        <v>5</v>
      </c>
      <c r="F48" s="56"/>
    </row>
    <row r="49" spans="1:6" ht="15.75" x14ac:dyDescent="0.25">
      <c r="A49" s="51"/>
      <c r="B49" s="27" t="s">
        <v>67</v>
      </c>
      <c r="C49" s="28">
        <v>5</v>
      </c>
      <c r="D49" s="28">
        <v>5</v>
      </c>
      <c r="E49" s="28">
        <v>5</v>
      </c>
      <c r="F49" s="28">
        <v>15</v>
      </c>
    </row>
    <row r="50" spans="1:6" ht="15.75" x14ac:dyDescent="0.25">
      <c r="A50" s="51"/>
      <c r="B50" s="27" t="s">
        <v>68</v>
      </c>
      <c r="C50" s="28">
        <v>6</v>
      </c>
      <c r="D50" s="28">
        <v>6</v>
      </c>
      <c r="E50" s="28">
        <v>6</v>
      </c>
      <c r="F50" s="28">
        <v>18</v>
      </c>
    </row>
    <row r="51" spans="1:6" ht="15.75" x14ac:dyDescent="0.25">
      <c r="A51" s="51"/>
      <c r="B51" s="27" t="s">
        <v>97</v>
      </c>
      <c r="C51" s="28">
        <v>2</v>
      </c>
      <c r="D51" s="28" t="s">
        <v>59</v>
      </c>
      <c r="E51" s="28" t="s">
        <v>59</v>
      </c>
      <c r="F51" s="28">
        <v>2</v>
      </c>
    </row>
    <row r="52" spans="1:6" ht="15.75" x14ac:dyDescent="0.25">
      <c r="A52" s="51"/>
      <c r="B52" s="27" t="s">
        <v>98</v>
      </c>
      <c r="C52" s="28" t="s">
        <v>59</v>
      </c>
      <c r="D52" s="28">
        <v>2</v>
      </c>
      <c r="E52" s="28" t="s">
        <v>59</v>
      </c>
      <c r="F52" s="28">
        <v>2</v>
      </c>
    </row>
    <row r="53" spans="1:6" ht="15.75" x14ac:dyDescent="0.25">
      <c r="A53" s="51"/>
      <c r="B53" s="27" t="s">
        <v>99</v>
      </c>
      <c r="C53" s="28" t="s">
        <v>59</v>
      </c>
      <c r="D53" s="28" t="s">
        <v>59</v>
      </c>
      <c r="E53" s="28">
        <v>2</v>
      </c>
      <c r="F53" s="28">
        <v>2</v>
      </c>
    </row>
    <row r="54" spans="1:6" ht="15.75" x14ac:dyDescent="0.25">
      <c r="A54" s="51"/>
      <c r="B54" s="27" t="s">
        <v>72</v>
      </c>
      <c r="C54" s="28">
        <v>2</v>
      </c>
      <c r="D54" s="28" t="s">
        <v>59</v>
      </c>
      <c r="E54" s="28" t="s">
        <v>59</v>
      </c>
      <c r="F54" s="28">
        <v>2</v>
      </c>
    </row>
    <row r="55" spans="1:6" ht="15.75" x14ac:dyDescent="0.25">
      <c r="A55" s="51"/>
      <c r="B55" s="27" t="s">
        <v>73</v>
      </c>
      <c r="C55" s="28" t="s">
        <v>59</v>
      </c>
      <c r="D55" s="28">
        <v>3</v>
      </c>
      <c r="E55" s="28" t="s">
        <v>59</v>
      </c>
      <c r="F55" s="28">
        <v>3</v>
      </c>
    </row>
    <row r="56" spans="1:6" ht="15.75" x14ac:dyDescent="0.25">
      <c r="A56" s="51"/>
      <c r="B56" s="27" t="s">
        <v>100</v>
      </c>
      <c r="C56" s="28" t="s">
        <v>59</v>
      </c>
      <c r="D56" s="28" t="s">
        <v>59</v>
      </c>
      <c r="E56" s="28">
        <v>3</v>
      </c>
      <c r="F56" s="28">
        <v>3</v>
      </c>
    </row>
    <row r="57" spans="1:6" ht="15.75" x14ac:dyDescent="0.25">
      <c r="A57" s="51"/>
      <c r="B57" s="27" t="s">
        <v>75</v>
      </c>
      <c r="C57" s="28">
        <v>2</v>
      </c>
      <c r="D57" s="28" t="s">
        <v>59</v>
      </c>
      <c r="E57" s="28" t="s">
        <v>59</v>
      </c>
      <c r="F57" s="28">
        <v>2</v>
      </c>
    </row>
    <row r="58" spans="1:6" ht="15.75" x14ac:dyDescent="0.25">
      <c r="A58" s="51"/>
      <c r="B58" s="27" t="s">
        <v>76</v>
      </c>
      <c r="C58" s="28" t="s">
        <v>59</v>
      </c>
      <c r="D58" s="28">
        <v>2</v>
      </c>
      <c r="E58" s="28" t="s">
        <v>59</v>
      </c>
      <c r="F58" s="28">
        <v>2</v>
      </c>
    </row>
    <row r="59" spans="1:6" ht="15.75" x14ac:dyDescent="0.25">
      <c r="A59" s="51"/>
      <c r="B59" s="27" t="s">
        <v>60</v>
      </c>
      <c r="C59" s="28" t="s">
        <v>59</v>
      </c>
      <c r="D59" s="28" t="s">
        <v>59</v>
      </c>
      <c r="E59" s="28">
        <v>2</v>
      </c>
      <c r="F59" s="28">
        <v>2</v>
      </c>
    </row>
    <row r="60" spans="1:6" ht="15.75" x14ac:dyDescent="0.25">
      <c r="A60" s="51"/>
      <c r="B60" s="27" t="s">
        <v>101</v>
      </c>
      <c r="C60" s="28" t="s">
        <v>59</v>
      </c>
      <c r="D60" s="28">
        <v>2</v>
      </c>
      <c r="E60" s="28">
        <v>2</v>
      </c>
      <c r="F60" s="28">
        <v>4</v>
      </c>
    </row>
    <row r="61" spans="1:6" ht="15.75" x14ac:dyDescent="0.25">
      <c r="A61" s="51"/>
      <c r="B61" s="27" t="s">
        <v>77</v>
      </c>
      <c r="C61" s="29">
        <v>1</v>
      </c>
      <c r="D61" s="29">
        <v>1</v>
      </c>
      <c r="E61" s="28">
        <v>1</v>
      </c>
      <c r="F61" s="28">
        <v>3</v>
      </c>
    </row>
    <row r="62" spans="1:6" ht="15.75" x14ac:dyDescent="0.25">
      <c r="A62" s="51"/>
      <c r="B62" s="30" t="s">
        <v>102</v>
      </c>
      <c r="C62" s="31">
        <v>18</v>
      </c>
      <c r="D62" s="31">
        <v>21</v>
      </c>
      <c r="E62" s="31">
        <v>21</v>
      </c>
      <c r="F62" s="31">
        <v>60</v>
      </c>
    </row>
    <row r="63" spans="1:6" ht="15.75" x14ac:dyDescent="0.25">
      <c r="A63" s="51" t="s">
        <v>61</v>
      </c>
      <c r="B63" s="27" t="s">
        <v>79</v>
      </c>
      <c r="C63" s="28">
        <v>5</v>
      </c>
      <c r="D63" s="28">
        <v>5</v>
      </c>
      <c r="E63" s="28">
        <v>5</v>
      </c>
      <c r="F63" s="28">
        <v>15</v>
      </c>
    </row>
    <row r="64" spans="1:6" ht="15.75" x14ac:dyDescent="0.25">
      <c r="A64" s="51"/>
      <c r="B64" s="27" t="s">
        <v>80</v>
      </c>
      <c r="C64" s="28">
        <v>2</v>
      </c>
      <c r="D64" s="28">
        <v>2</v>
      </c>
      <c r="E64" s="28">
        <v>2</v>
      </c>
      <c r="F64" s="28">
        <v>4</v>
      </c>
    </row>
    <row r="65" spans="1:6" ht="15.75" x14ac:dyDescent="0.25">
      <c r="A65" s="51"/>
      <c r="B65" s="27" t="s">
        <v>103</v>
      </c>
      <c r="C65" s="28">
        <v>5</v>
      </c>
      <c r="D65" s="28">
        <v>5</v>
      </c>
      <c r="E65" s="28">
        <v>5</v>
      </c>
      <c r="F65" s="28">
        <v>15</v>
      </c>
    </row>
    <row r="66" spans="1:6" ht="15.75" x14ac:dyDescent="0.25">
      <c r="A66" s="51"/>
      <c r="B66" s="27" t="s">
        <v>104</v>
      </c>
      <c r="C66" s="28">
        <v>5</v>
      </c>
      <c r="D66" s="28">
        <v>5</v>
      </c>
      <c r="E66" s="28">
        <v>5</v>
      </c>
      <c r="F66" s="28">
        <v>15</v>
      </c>
    </row>
    <row r="67" spans="1:6" ht="15.75" x14ac:dyDescent="0.25">
      <c r="A67" s="51"/>
      <c r="B67" s="27" t="s">
        <v>105</v>
      </c>
      <c r="C67" s="28">
        <v>5</v>
      </c>
      <c r="D67" s="28">
        <v>5</v>
      </c>
      <c r="E67" s="28">
        <v>5</v>
      </c>
      <c r="F67" s="28">
        <v>15</v>
      </c>
    </row>
    <row r="68" spans="1:6" ht="15.75" x14ac:dyDescent="0.25">
      <c r="A68" s="51"/>
      <c r="B68" s="30" t="s">
        <v>102</v>
      </c>
      <c r="C68" s="31">
        <v>22</v>
      </c>
      <c r="D68" s="31">
        <v>22</v>
      </c>
      <c r="E68" s="31">
        <v>22</v>
      </c>
      <c r="F68" s="31">
        <v>64</v>
      </c>
    </row>
    <row r="69" spans="1:6" ht="15.75" x14ac:dyDescent="0.25">
      <c r="A69" s="51" t="s">
        <v>62</v>
      </c>
      <c r="B69" s="27" t="s">
        <v>81</v>
      </c>
      <c r="C69" s="28">
        <v>5</v>
      </c>
      <c r="D69" s="28" t="s">
        <v>59</v>
      </c>
      <c r="E69" s="28" t="s">
        <v>59</v>
      </c>
      <c r="F69" s="28">
        <v>5</v>
      </c>
    </row>
    <row r="70" spans="1:6" ht="15.75" x14ac:dyDescent="0.25">
      <c r="A70" s="51"/>
      <c r="B70" s="27" t="s">
        <v>106</v>
      </c>
      <c r="C70" s="28" t="s">
        <v>59</v>
      </c>
      <c r="D70" s="28" t="s">
        <v>59</v>
      </c>
      <c r="E70" s="28">
        <v>2</v>
      </c>
      <c r="F70" s="28">
        <v>2</v>
      </c>
    </row>
    <row r="71" spans="1:6" ht="15.75" x14ac:dyDescent="0.25">
      <c r="A71" s="51"/>
      <c r="B71" s="30" t="s">
        <v>102</v>
      </c>
      <c r="C71" s="31">
        <v>5</v>
      </c>
      <c r="D71" s="31" t="s">
        <v>59</v>
      </c>
      <c r="E71" s="31">
        <v>2</v>
      </c>
      <c r="F71" s="31">
        <v>7</v>
      </c>
    </row>
    <row r="72" spans="1:6" ht="16.5" x14ac:dyDescent="0.25">
      <c r="A72" s="51"/>
      <c r="B72" s="32" t="s">
        <v>94</v>
      </c>
      <c r="C72" s="26">
        <v>45</v>
      </c>
      <c r="D72" s="26">
        <v>43</v>
      </c>
      <c r="E72" s="26">
        <v>45</v>
      </c>
      <c r="F72" s="33">
        <v>131</v>
      </c>
    </row>
    <row r="73" spans="1:6" ht="15.75" x14ac:dyDescent="0.25">
      <c r="A73" s="51"/>
      <c r="B73" s="32" t="s">
        <v>95</v>
      </c>
      <c r="C73" s="26">
        <v>11</v>
      </c>
      <c r="D73" s="26">
        <v>11</v>
      </c>
      <c r="E73" s="26">
        <v>11</v>
      </c>
      <c r="F73" s="26">
        <v>33</v>
      </c>
    </row>
  </sheetData>
  <mergeCells count="19">
    <mergeCell ref="A1:F2"/>
    <mergeCell ref="A3:A5"/>
    <mergeCell ref="B3:B5"/>
    <mergeCell ref="C3:E3"/>
    <mergeCell ref="F3:F5"/>
    <mergeCell ref="C4:E4"/>
    <mergeCell ref="A63:A68"/>
    <mergeCell ref="A69:A73"/>
    <mergeCell ref="A44:F45"/>
    <mergeCell ref="A6:A18"/>
    <mergeCell ref="A19:A23"/>
    <mergeCell ref="A24:A37"/>
    <mergeCell ref="A38:A39"/>
    <mergeCell ref="A40:F40"/>
    <mergeCell ref="B46:B48"/>
    <mergeCell ref="C46:E46"/>
    <mergeCell ref="F46:F48"/>
    <mergeCell ref="A47:A62"/>
    <mergeCell ref="C47:E47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Pre-Escolar</vt:lpstr>
      <vt:lpstr>Primaria y Pre-media </vt:lpstr>
      <vt:lpstr>Media Comercio y Ciencias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Secretaria</dc:creator>
  <cp:lastModifiedBy>Colegio Bilingüe Santo Domingo Savio</cp:lastModifiedBy>
  <cp:lastPrinted>2023-06-16T14:14:12Z</cp:lastPrinted>
  <dcterms:created xsi:type="dcterms:W3CDTF">2018-04-03T15:24:56Z</dcterms:created>
  <dcterms:modified xsi:type="dcterms:W3CDTF">2026-08-04T15:30:25Z</dcterms:modified>
</cp:coreProperties>
</file>